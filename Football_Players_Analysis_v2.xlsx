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otball Players Analysis" sheetId="1" state="visible" r:id="rId1"/>
    <sheet xmlns:r="http://schemas.openxmlformats.org/officeDocument/2006/relationships" name="Data_Players" sheetId="2" state="visible" r:id="rId2"/>
    <sheet xmlns:r="http://schemas.openxmlformats.org/officeDocument/2006/relationships" name="Pivot_Table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97D"/>
      <sz val="18"/>
    </font>
    <font>
      <b val="1"/>
      <color rgb="00595959"/>
      <sz val="9"/>
    </font>
    <font>
      <b val="1"/>
      <color rgb="001F497D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center"/>
    </xf>
    <xf numFmtId="2" fontId="1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1" fontId="0" fillId="0" borderId="0" applyAlignment="1" pivotButton="0" quotePrefix="0" xfId="0">
      <alignment horizontal="center"/>
    </xf>
    <xf numFmtId="2" fontId="0" fillId="0" borderId="0" applyAlignment="1" pivotButton="0" quotePrefix="0" xfId="0">
      <alignment horizontal="right"/>
    </xf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Analisis por Posicion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'Football Players Analysis'!B9</f>
            </strRef>
          </tx>
          <spPr>
            <a:ln xmlns:a="http://schemas.openxmlformats.org/drawingml/2006/main">
              <a:prstDash val="solid"/>
            </a:ln>
          </spPr>
          <cat>
            <numRef>
              <f>'Football Players Analysis'!$A$10:$A$13</f>
            </numRef>
          </cat>
          <val>
            <numRef>
              <f>'Football Players Analysis'!$B$10:$B$13</f>
            </numRef>
          </val>
        </ser>
        <ser>
          <idx val="1"/>
          <order val="1"/>
          <tx>
            <strRef>
              <f>'Football Players Analysis'!C9</f>
            </strRef>
          </tx>
          <spPr>
            <a:ln xmlns:a="http://schemas.openxmlformats.org/drawingml/2006/main">
              <a:prstDash val="solid"/>
            </a:ln>
          </spPr>
          <cat>
            <numRef>
              <f>'Football Players Analysis'!$A$10:$A$13</f>
            </numRef>
          </cat>
          <val>
            <numRef>
              <f>'Football Players Analysis'!$C$10:$C$13</f>
            </numRef>
          </val>
        </ser>
        <ser>
          <idx val="2"/>
          <order val="2"/>
          <tx>
            <strRef>
              <f>'Football Players Analysis'!D9</f>
            </strRef>
          </tx>
          <spPr>
            <a:ln xmlns:a="http://schemas.openxmlformats.org/drawingml/2006/main">
              <a:prstDash val="solid"/>
            </a:ln>
          </spPr>
          <cat>
            <numRef>
              <f>'Football Players Analysis'!$A$10:$A$13</f>
            </numRef>
          </cat>
          <val>
            <numRef>
              <f>'Football Players Analysis'!$D$10:$D$13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Posicion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Valores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8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Football Players Analysis</t>
        </is>
      </c>
    </row>
    <row r="3">
      <c r="A3" s="2" t="inlineStr">
        <is>
          <t>TOTAL JUGADORES</t>
        </is>
      </c>
      <c r="C3" s="2" t="inlineStr">
        <is>
          <t>VALOR MEDIO</t>
        </is>
      </c>
      <c r="E3" s="2" t="inlineStr">
        <is>
          <t>VALOR MÁXIMO</t>
        </is>
      </c>
      <c r="G3" s="2" t="inlineStr">
        <is>
          <t>PAÍSES</t>
        </is>
      </c>
      <c r="I3" s="2" t="inlineStr">
        <is>
          <t>MEDIA GOLES INT.</t>
        </is>
      </c>
    </row>
    <row r="4">
      <c r="A4" s="3">
        <f>COUNTA(Data_Players!A2:A49)</f>
        <v/>
      </c>
      <c r="C4" s="4">
        <f>AVERAGE(Data_Players!D2:D49)</f>
        <v/>
      </c>
      <c r="E4" s="4">
        <f>MAX(Data_Players!D2:D49)</f>
        <v/>
      </c>
      <c r="G4" s="3" t="inlineStr">
        <is>
          <t>30</t>
        </is>
      </c>
      <c r="I4" s="4">
        <f>AVERAGE(Data_Players!E2:E49)</f>
        <v/>
      </c>
    </row>
    <row r="7">
      <c r="A7" s="5" t="inlineStr">
        <is>
          <t>PLAYERS BY POSITION</t>
        </is>
      </c>
    </row>
    <row r="9">
      <c r="A9" s="6" t="inlineStr">
        <is>
          <t>Position</t>
        </is>
      </c>
      <c r="B9" s="6" t="inlineStr">
        <is>
          <t>Jugadores</t>
        </is>
      </c>
      <c r="C9" s="6" t="inlineStr">
        <is>
          <t>Promedio Valor ($M)</t>
        </is>
      </c>
      <c r="D9" s="6" t="inlineStr">
        <is>
          <t>Máximo Valor ($M)</t>
        </is>
      </c>
    </row>
    <row r="10">
      <c r="A10" s="7">
        <f>Pivot_Tables!A3</f>
        <v/>
      </c>
      <c r="B10" s="8">
        <f>Pivot_Tables!B3</f>
        <v/>
      </c>
      <c r="C10" s="9">
        <f>Pivot_Tables!C3</f>
        <v/>
      </c>
      <c r="D10" s="9">
        <f>Pivot_Tables!D3</f>
        <v/>
      </c>
    </row>
    <row r="11">
      <c r="A11" s="7">
        <f>Pivot_Tables!A4</f>
        <v/>
      </c>
      <c r="B11" s="8">
        <f>Pivot_Tables!B4</f>
        <v/>
      </c>
      <c r="C11" s="9">
        <f>Pivot_Tables!C4</f>
        <v/>
      </c>
      <c r="D11" s="9">
        <f>Pivot_Tables!D4</f>
        <v/>
      </c>
    </row>
    <row r="12">
      <c r="A12" s="7">
        <f>Pivot_Tables!A5</f>
        <v/>
      </c>
      <c r="B12" s="8">
        <f>Pivot_Tables!B5</f>
        <v/>
      </c>
      <c r="C12" s="9">
        <f>Pivot_Tables!C5</f>
        <v/>
      </c>
      <c r="D12" s="9">
        <f>Pivot_Tables!D5</f>
        <v/>
      </c>
    </row>
    <row r="13">
      <c r="A13" s="7">
        <f>Pivot_Tables!A6</f>
        <v/>
      </c>
      <c r="B13" s="8">
        <f>Pivot_Tables!B6</f>
        <v/>
      </c>
      <c r="C13" s="9">
        <f>Pivot_Tables!C6</f>
        <v/>
      </c>
      <c r="D13" s="9">
        <f>Pivot_Tables!D6</f>
        <v/>
      </c>
    </row>
  </sheetData>
  <mergeCells count="10">
    <mergeCell ref="A4:B4"/>
    <mergeCell ref="G4:H4"/>
    <mergeCell ref="E4:F4"/>
    <mergeCell ref="I4:J4"/>
    <mergeCell ref="I3:J3"/>
    <mergeCell ref="C3:D3"/>
    <mergeCell ref="A3:B3"/>
    <mergeCell ref="G3:H3"/>
    <mergeCell ref="E3:F3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4" customWidth="1" min="3" max="3"/>
    <col width="24" customWidth="1" min="4" max="4"/>
    <col width="22" customWidth="1" min="5" max="5"/>
  </cols>
  <sheetData>
    <row r="1">
      <c r="A1" s="10" t="inlineStr">
        <is>
          <t>name</t>
        </is>
      </c>
      <c r="B1" s="10" t="inlineStr">
        <is>
          <t>position</t>
        </is>
      </c>
      <c r="C1" s="10" t="inlineStr">
        <is>
          <t>country</t>
        </is>
      </c>
      <c r="D1" s="10" t="inlineStr">
        <is>
          <t>market_value_millions</t>
        </is>
      </c>
      <c r="E1" s="10" t="inlineStr">
        <is>
          <t>international_goals</t>
        </is>
      </c>
    </row>
    <row r="2">
      <c r="A2" t="inlineStr">
        <is>
          <t>Harry Kane</t>
        </is>
      </c>
      <c r="B2" t="inlineStr">
        <is>
          <t>Attack</t>
        </is>
      </c>
      <c r="C2" t="inlineStr">
        <is>
          <t>England</t>
        </is>
      </c>
      <c r="D2" t="n">
        <v>40</v>
      </c>
      <c r="E2" t="n">
        <v>62</v>
      </c>
    </row>
    <row r="3">
      <c r="A3" t="inlineStr">
        <is>
          <t>Kylian Mbappé</t>
        </is>
      </c>
      <c r="B3" t="inlineStr">
        <is>
          <t>Attack</t>
        </is>
      </c>
      <c r="C3" t="inlineStr">
        <is>
          <t>France</t>
        </is>
      </c>
      <c r="D3" t="n">
        <v>38</v>
      </c>
      <c r="E3" t="n">
        <v>46</v>
      </c>
    </row>
    <row r="4">
      <c r="A4" t="inlineStr">
        <is>
          <t>Erling Haaland</t>
        </is>
      </c>
      <c r="B4" t="inlineStr">
        <is>
          <t>Attack</t>
        </is>
      </c>
      <c r="C4" t="inlineStr">
        <is>
          <t>Norway</t>
        </is>
      </c>
      <c r="D4" t="n">
        <v>35</v>
      </c>
      <c r="E4" t="n">
        <v>27</v>
      </c>
    </row>
    <row r="5">
      <c r="A5" t="inlineStr">
        <is>
          <t>Robert Lewandowski</t>
        </is>
      </c>
      <c r="B5" t="inlineStr">
        <is>
          <t>Attack</t>
        </is>
      </c>
      <c r="C5" t="inlineStr">
        <is>
          <t>Poland</t>
        </is>
      </c>
      <c r="D5" t="n">
        <v>15</v>
      </c>
      <c r="E5" t="n">
        <v>82</v>
      </c>
    </row>
    <row r="6">
      <c r="A6" t="inlineStr">
        <is>
          <t>Vinícius Júnior</t>
        </is>
      </c>
      <c r="B6" t="inlineStr">
        <is>
          <t>Attack</t>
        </is>
      </c>
      <c r="C6" t="inlineStr">
        <is>
          <t>Brazil</t>
        </is>
      </c>
      <c r="D6" t="n">
        <v>30</v>
      </c>
      <c r="E6" t="n">
        <v>5</v>
      </c>
    </row>
    <row r="7">
      <c r="A7" t="inlineStr">
        <is>
          <t>Mohamed Salah</t>
        </is>
      </c>
      <c r="B7" t="inlineStr">
        <is>
          <t>Attack</t>
        </is>
      </c>
      <c r="C7" t="inlineStr">
        <is>
          <t>Egypt</t>
        </is>
      </c>
      <c r="D7" t="n">
        <v>25</v>
      </c>
      <c r="E7" t="n">
        <v>54</v>
      </c>
    </row>
    <row r="8">
      <c r="A8" t="inlineStr">
        <is>
          <t>Lautaro Martínez</t>
        </is>
      </c>
      <c r="B8" t="inlineStr">
        <is>
          <t>Attack</t>
        </is>
      </c>
      <c r="C8" t="inlineStr">
        <is>
          <t>Argentina</t>
        </is>
      </c>
      <c r="D8" t="n">
        <v>18</v>
      </c>
      <c r="E8" t="n">
        <v>21</v>
      </c>
    </row>
    <row r="9">
      <c r="A9" t="inlineStr">
        <is>
          <t>Victor Osimhen</t>
        </is>
      </c>
      <c r="B9" t="inlineStr">
        <is>
          <t>Attack</t>
        </is>
      </c>
      <c r="C9" t="inlineStr">
        <is>
          <t>Nigeria</t>
        </is>
      </c>
      <c r="D9" t="n">
        <v>20</v>
      </c>
      <c r="E9" t="n">
        <v>20</v>
      </c>
    </row>
    <row r="10">
      <c r="A10" t="inlineStr">
        <is>
          <t>Bukayo Saka</t>
        </is>
      </c>
      <c r="B10" t="inlineStr">
        <is>
          <t>Attack</t>
        </is>
      </c>
      <c r="C10" t="inlineStr">
        <is>
          <t>England</t>
        </is>
      </c>
      <c r="D10" t="n">
        <v>22</v>
      </c>
      <c r="E10" t="n">
        <v>11</v>
      </c>
    </row>
    <row r="11">
      <c r="A11" t="inlineStr">
        <is>
          <t>Rodrygo</t>
        </is>
      </c>
      <c r="B11" t="inlineStr">
        <is>
          <t>Attack</t>
        </is>
      </c>
      <c r="C11" t="inlineStr">
        <is>
          <t>Brazil</t>
        </is>
      </c>
      <c r="D11" t="n">
        <v>18</v>
      </c>
      <c r="E11" t="n">
        <v>4</v>
      </c>
    </row>
    <row r="12">
      <c r="A12" t="inlineStr">
        <is>
          <t>Antoine Griezmann</t>
        </is>
      </c>
      <c r="B12" t="inlineStr">
        <is>
          <t>Attack</t>
        </is>
      </c>
      <c r="C12" t="inlineStr">
        <is>
          <t>France</t>
        </is>
      </c>
      <c r="D12" t="n">
        <v>12</v>
      </c>
      <c r="E12" t="n">
        <v>44</v>
      </c>
    </row>
    <row r="13">
      <c r="A13" t="inlineStr">
        <is>
          <t>Heung-min Son</t>
        </is>
      </c>
      <c r="B13" t="inlineStr">
        <is>
          <t>Attack</t>
        </is>
      </c>
      <c r="C13" t="inlineStr">
        <is>
          <t>South Korea</t>
        </is>
      </c>
      <c r="D13" t="n">
        <v>15</v>
      </c>
      <c r="E13" t="n">
        <v>44</v>
      </c>
    </row>
    <row r="14">
      <c r="A14" t="inlineStr">
        <is>
          <t>Julian Alvarez</t>
        </is>
      </c>
      <c r="B14" t="inlineStr">
        <is>
          <t>Attack</t>
        </is>
      </c>
      <c r="C14" t="inlineStr">
        <is>
          <t>Argentina</t>
        </is>
      </c>
      <c r="D14" t="n">
        <v>16</v>
      </c>
      <c r="E14" t="n">
        <v>7</v>
      </c>
    </row>
    <row r="15">
      <c r="A15" t="inlineStr">
        <is>
          <t>Alexander Isak</t>
        </is>
      </c>
      <c r="B15" t="inlineStr">
        <is>
          <t>Attack</t>
        </is>
      </c>
      <c r="C15" t="inlineStr">
        <is>
          <t>Sweden</t>
        </is>
      </c>
      <c r="D15" t="n">
        <v>14</v>
      </c>
      <c r="E15" t="n">
        <v>10</v>
      </c>
    </row>
    <row r="16">
      <c r="A16" t="inlineStr">
        <is>
          <t>Jude Bellingham</t>
        </is>
      </c>
      <c r="B16" t="inlineStr">
        <is>
          <t>Midfield</t>
        </is>
      </c>
      <c r="C16" t="inlineStr">
        <is>
          <t>England</t>
        </is>
      </c>
      <c r="D16" t="n">
        <v>40</v>
      </c>
      <c r="E16" t="n">
        <v>6</v>
      </c>
    </row>
    <row r="17">
      <c r="A17" t="inlineStr">
        <is>
          <t>Jamal Musiala</t>
        </is>
      </c>
      <c r="B17" t="inlineStr">
        <is>
          <t>Midfield</t>
        </is>
      </c>
      <c r="C17" t="inlineStr">
        <is>
          <t>Germany</t>
        </is>
      </c>
      <c r="D17" t="n">
        <v>32</v>
      </c>
      <c r="E17" t="n">
        <v>2</v>
      </c>
    </row>
    <row r="18">
      <c r="A18" t="inlineStr">
        <is>
          <t>Pedri</t>
        </is>
      </c>
      <c r="B18" t="inlineStr">
        <is>
          <t>Midfield</t>
        </is>
      </c>
      <c r="C18" t="inlineStr">
        <is>
          <t>Spain</t>
        </is>
      </c>
      <c r="D18" t="n">
        <v>25</v>
      </c>
      <c r="E18" t="n">
        <v>2</v>
      </c>
    </row>
    <row r="19">
      <c r="A19" t="inlineStr">
        <is>
          <t>Federico Valverde</t>
        </is>
      </c>
      <c r="B19" t="inlineStr">
        <is>
          <t>Midfield</t>
        </is>
      </c>
      <c r="C19" t="inlineStr">
        <is>
          <t>Uruguay</t>
        </is>
      </c>
      <c r="D19" t="n">
        <v>28</v>
      </c>
      <c r="E19" t="n">
        <v>6</v>
      </c>
    </row>
    <row r="20">
      <c r="A20" t="inlineStr">
        <is>
          <t>Declan Rice</t>
        </is>
      </c>
      <c r="B20" t="inlineStr">
        <is>
          <t>Midfield</t>
        </is>
      </c>
      <c r="C20" t="inlineStr">
        <is>
          <t>England</t>
        </is>
      </c>
      <c r="D20" t="n">
        <v>25</v>
      </c>
      <c r="E20" t="n">
        <v>3</v>
      </c>
    </row>
    <row r="21">
      <c r="A21" t="inlineStr">
        <is>
          <t>Florian Wirtz</t>
        </is>
      </c>
      <c r="B21" t="inlineStr">
        <is>
          <t>Midfield</t>
        </is>
      </c>
      <c r="C21" t="inlineStr">
        <is>
          <t>Germany</t>
        </is>
      </c>
      <c r="D21" t="n">
        <v>24</v>
      </c>
      <c r="E21" t="n">
        <v>1</v>
      </c>
    </row>
    <row r="22">
      <c r="A22" t="inlineStr">
        <is>
          <t>Rodri</t>
        </is>
      </c>
      <c r="B22" t="inlineStr">
        <is>
          <t>Midfield</t>
        </is>
      </c>
      <c r="C22" t="inlineStr">
        <is>
          <t>Spain</t>
        </is>
      </c>
      <c r="D22" t="n">
        <v>30</v>
      </c>
      <c r="E22" t="n">
        <v>4</v>
      </c>
    </row>
    <row r="23">
      <c r="A23" t="inlineStr">
        <is>
          <t>Bruno Fernandes</t>
        </is>
      </c>
      <c r="B23" t="inlineStr">
        <is>
          <t>Midfield</t>
        </is>
      </c>
      <c r="C23" t="inlineStr">
        <is>
          <t>Portugal</t>
        </is>
      </c>
      <c r="D23" t="n">
        <v>20</v>
      </c>
      <c r="E23" t="n">
        <v>19</v>
      </c>
    </row>
    <row r="24">
      <c r="A24" t="inlineStr">
        <is>
          <t>Martin Ødegaard</t>
        </is>
      </c>
      <c r="B24" t="inlineStr">
        <is>
          <t>Midfield</t>
        </is>
      </c>
      <c r="C24" t="inlineStr">
        <is>
          <t>Norway</t>
        </is>
      </c>
      <c r="D24" t="n">
        <v>22</v>
      </c>
      <c r="E24" t="n">
        <v>3</v>
      </c>
    </row>
    <row r="25">
      <c r="A25" t="inlineStr">
        <is>
          <t>Gavi</t>
        </is>
      </c>
      <c r="B25" t="inlineStr">
        <is>
          <t>Midfield</t>
        </is>
      </c>
      <c r="C25" t="inlineStr">
        <is>
          <t>Spain</t>
        </is>
      </c>
      <c r="D25" t="n">
        <v>18</v>
      </c>
      <c r="E25" t="n">
        <v>5</v>
      </c>
    </row>
    <row r="26">
      <c r="A26" t="inlineStr">
        <is>
          <t>Eduardo Camavinga</t>
        </is>
      </c>
      <c r="B26" t="inlineStr">
        <is>
          <t>Midfield</t>
        </is>
      </c>
      <c r="C26" t="inlineStr">
        <is>
          <t>France</t>
        </is>
      </c>
      <c r="D26" t="n">
        <v>16</v>
      </c>
      <c r="E26" t="n">
        <v>1</v>
      </c>
    </row>
    <row r="27">
      <c r="A27" t="inlineStr">
        <is>
          <t>Kevin De Bruyne</t>
        </is>
      </c>
      <c r="B27" t="inlineStr">
        <is>
          <t>Midfield</t>
        </is>
      </c>
      <c r="C27" t="inlineStr">
        <is>
          <t>Belgium</t>
        </is>
      </c>
      <c r="D27" t="n">
        <v>15</v>
      </c>
      <c r="E27" t="n">
        <v>26</v>
      </c>
    </row>
    <row r="28">
      <c r="A28" t="inlineStr">
        <is>
          <t>Luka Modrić</t>
        </is>
      </c>
      <c r="B28" t="inlineStr">
        <is>
          <t>Midfield</t>
        </is>
      </c>
      <c r="C28" t="inlineStr">
        <is>
          <t>Croatia</t>
        </is>
      </c>
      <c r="D28" t="n">
        <v>5</v>
      </c>
      <c r="E28" t="n">
        <v>24</v>
      </c>
    </row>
    <row r="29">
      <c r="A29" t="inlineStr">
        <is>
          <t>Ilkay Gündogan</t>
        </is>
      </c>
      <c r="B29" t="inlineStr">
        <is>
          <t>Midfield</t>
        </is>
      </c>
      <c r="C29" t="inlineStr">
        <is>
          <t>Germany</t>
        </is>
      </c>
      <c r="D29" t="n">
        <v>8</v>
      </c>
      <c r="E29" t="n">
        <v>18</v>
      </c>
    </row>
    <row r="30">
      <c r="A30" t="inlineStr">
        <is>
          <t>Rúben Dias</t>
        </is>
      </c>
      <c r="B30" t="inlineStr">
        <is>
          <t>Defender</t>
        </is>
      </c>
      <c r="C30" t="inlineStr">
        <is>
          <t>Portugal</t>
        </is>
      </c>
      <c r="D30" t="n">
        <v>18</v>
      </c>
      <c r="E30" t="n">
        <v>3</v>
      </c>
    </row>
    <row r="31">
      <c r="A31" t="inlineStr">
        <is>
          <t>William Saliba</t>
        </is>
      </c>
      <c r="B31" t="inlineStr">
        <is>
          <t>Defender</t>
        </is>
      </c>
      <c r="C31" t="inlineStr">
        <is>
          <t>France</t>
        </is>
      </c>
      <c r="D31" t="n">
        <v>15</v>
      </c>
      <c r="E31" t="n">
        <v>0</v>
      </c>
    </row>
    <row r="32">
      <c r="A32" t="inlineStr">
        <is>
          <t>Josko Gvardiol</t>
        </is>
      </c>
      <c r="B32" t="inlineStr">
        <is>
          <t>Defender</t>
        </is>
      </c>
      <c r="C32" t="inlineStr">
        <is>
          <t>Croatia</t>
        </is>
      </c>
      <c r="D32" t="n">
        <v>14</v>
      </c>
      <c r="E32" t="n">
        <v>2</v>
      </c>
    </row>
    <row r="33">
      <c r="A33" t="inlineStr">
        <is>
          <t>Trent Alexander-Arnold</t>
        </is>
      </c>
      <c r="B33" t="inlineStr">
        <is>
          <t>Defender</t>
        </is>
      </c>
      <c r="C33" t="inlineStr">
        <is>
          <t>England</t>
        </is>
      </c>
      <c r="D33" t="n">
        <v>12</v>
      </c>
      <c r="E33" t="n">
        <v>2</v>
      </c>
    </row>
    <row r="34">
      <c r="A34" t="inlineStr">
        <is>
          <t>Alphonso Davies</t>
        </is>
      </c>
      <c r="B34" t="inlineStr">
        <is>
          <t>Defender</t>
        </is>
      </c>
      <c r="C34" t="inlineStr">
        <is>
          <t>Canada</t>
        </is>
      </c>
      <c r="D34" t="n">
        <v>10</v>
      </c>
      <c r="E34" t="n">
        <v>15</v>
      </c>
    </row>
    <row r="35">
      <c r="A35" t="inlineStr">
        <is>
          <t>Ronald Araújo</t>
        </is>
      </c>
      <c r="B35" t="inlineStr">
        <is>
          <t>Defender</t>
        </is>
      </c>
      <c r="C35" t="inlineStr">
        <is>
          <t>Uruguay</t>
        </is>
      </c>
      <c r="D35" t="n">
        <v>12</v>
      </c>
      <c r="E35" t="n">
        <v>1</v>
      </c>
    </row>
    <row r="36">
      <c r="A36" t="inlineStr">
        <is>
          <t>Achraf Hakimi</t>
        </is>
      </c>
      <c r="B36" t="inlineStr">
        <is>
          <t>Defender</t>
        </is>
      </c>
      <c r="C36" t="inlineStr">
        <is>
          <t>Morocco</t>
        </is>
      </c>
      <c r="D36" t="n">
        <v>11</v>
      </c>
      <c r="E36" t="n">
        <v>8</v>
      </c>
    </row>
    <row r="37">
      <c r="A37" t="inlineStr">
        <is>
          <t>Virgil van Dijk</t>
        </is>
      </c>
      <c r="B37" t="inlineStr">
        <is>
          <t>Defender</t>
        </is>
      </c>
      <c r="C37" t="inlineStr">
        <is>
          <t>Netherlands</t>
        </is>
      </c>
      <c r="D37" t="n">
        <v>8</v>
      </c>
      <c r="E37" t="n">
        <v>7</v>
      </c>
    </row>
    <row r="38">
      <c r="A38" t="inlineStr">
        <is>
          <t>Theo Hernández</t>
        </is>
      </c>
      <c r="B38" t="inlineStr">
        <is>
          <t>Defender</t>
        </is>
      </c>
      <c r="C38" t="inlineStr">
        <is>
          <t>France</t>
        </is>
      </c>
      <c r="D38" t="n">
        <v>9</v>
      </c>
      <c r="E38" t="n">
        <v>2</v>
      </c>
    </row>
    <row r="39">
      <c r="A39" t="inlineStr">
        <is>
          <t>Éder Militão</t>
        </is>
      </c>
      <c r="B39" t="inlineStr">
        <is>
          <t>Defender</t>
        </is>
      </c>
      <c r="C39" t="inlineStr">
        <is>
          <t>Brazil</t>
        </is>
      </c>
      <c r="D39" t="n">
        <v>10</v>
      </c>
      <c r="E39" t="n">
        <v>2</v>
      </c>
    </row>
    <row r="40">
      <c r="A40" t="inlineStr">
        <is>
          <t>Gabriel Magalhães</t>
        </is>
      </c>
      <c r="B40" t="inlineStr">
        <is>
          <t>Defender</t>
        </is>
      </c>
      <c r="C40" t="inlineStr">
        <is>
          <t>Brazil</t>
        </is>
      </c>
      <c r="D40" t="n">
        <v>8</v>
      </c>
      <c r="E40" t="n">
        <v>1</v>
      </c>
    </row>
    <row r="41">
      <c r="A41" t="inlineStr">
        <is>
          <t>Jules Koundé</t>
        </is>
      </c>
      <c r="B41" t="inlineStr">
        <is>
          <t>Defender</t>
        </is>
      </c>
      <c r="C41" t="inlineStr">
        <is>
          <t>France</t>
        </is>
      </c>
      <c r="D41" t="n">
        <v>7</v>
      </c>
      <c r="E41" t="n">
        <v>0</v>
      </c>
    </row>
    <row r="42">
      <c r="A42" t="inlineStr">
        <is>
          <t>Andy Robertson</t>
        </is>
      </c>
      <c r="B42" t="inlineStr">
        <is>
          <t>Defender</t>
        </is>
      </c>
      <c r="C42" t="inlineStr">
        <is>
          <t>Scotland</t>
        </is>
      </c>
      <c r="D42" t="n">
        <v>6</v>
      </c>
      <c r="E42" t="n">
        <v>3</v>
      </c>
    </row>
    <row r="43">
      <c r="A43" t="inlineStr">
        <is>
          <t>Nathan Aké</t>
        </is>
      </c>
      <c r="B43" t="inlineStr">
        <is>
          <t>Defender</t>
        </is>
      </c>
      <c r="C43" t="inlineStr">
        <is>
          <t>Netherlands</t>
        </is>
      </c>
      <c r="D43" t="n">
        <v>5</v>
      </c>
      <c r="E43" t="n">
        <v>5</v>
      </c>
    </row>
    <row r="44">
      <c r="A44" t="inlineStr">
        <is>
          <t>Thibaut Courtois</t>
        </is>
      </c>
      <c r="B44" t="inlineStr">
        <is>
          <t>Goalkeeper</t>
        </is>
      </c>
      <c r="C44" t="inlineStr">
        <is>
          <t>Belgium</t>
        </is>
      </c>
      <c r="D44" t="n">
        <v>2</v>
      </c>
      <c r="E44" t="n">
        <v>0</v>
      </c>
    </row>
    <row r="45">
      <c r="A45" t="inlineStr">
        <is>
          <t>Alisson Becker</t>
        </is>
      </c>
      <c r="B45" t="inlineStr">
        <is>
          <t>Goalkeeper</t>
        </is>
      </c>
      <c r="C45" t="inlineStr">
        <is>
          <t>Brazil</t>
        </is>
      </c>
      <c r="D45" t="n">
        <v>1.8</v>
      </c>
      <c r="E45" t="n">
        <v>0</v>
      </c>
    </row>
    <row r="46">
      <c r="A46" t="inlineStr">
        <is>
          <t>Gianluigi Donnarumma</t>
        </is>
      </c>
      <c r="B46" t="inlineStr">
        <is>
          <t>Goalkeeper</t>
        </is>
      </c>
      <c r="C46" t="inlineStr">
        <is>
          <t>Italy</t>
        </is>
      </c>
      <c r="D46" t="n">
        <v>1.2</v>
      </c>
      <c r="E46" t="n">
        <v>0</v>
      </c>
    </row>
    <row r="47">
      <c r="A47" t="inlineStr">
        <is>
          <t>Ederson</t>
        </is>
      </c>
      <c r="B47" t="inlineStr">
        <is>
          <t>Goalkeeper</t>
        </is>
      </c>
      <c r="C47" t="inlineStr">
        <is>
          <t>Brazil</t>
        </is>
      </c>
      <c r="D47" t="n">
        <v>0.7</v>
      </c>
      <c r="E47" t="n">
        <v>0</v>
      </c>
    </row>
    <row r="48">
      <c r="A48" t="inlineStr">
        <is>
          <t>Jan Oblak</t>
        </is>
      </c>
      <c r="B48" t="inlineStr">
        <is>
          <t>Goalkeeper</t>
        </is>
      </c>
      <c r="C48" t="inlineStr">
        <is>
          <t>Slovenia</t>
        </is>
      </c>
      <c r="D48" t="n">
        <v>0</v>
      </c>
      <c r="E48" t="n">
        <v>0</v>
      </c>
    </row>
    <row r="49">
      <c r="A49" t="inlineStr">
        <is>
          <t>Marc-André ter Stegen</t>
        </is>
      </c>
      <c r="B49" t="inlineStr">
        <is>
          <t>Goalkeeper</t>
        </is>
      </c>
      <c r="C49" t="inlineStr">
        <is>
          <t>Germany</t>
        </is>
      </c>
      <c r="D49" t="n">
        <v>0</v>
      </c>
      <c r="E4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 ANALYSIS</t>
        </is>
      </c>
    </row>
    <row r="2">
      <c r="A2" t="inlineStr">
        <is>
          <t>position</t>
        </is>
      </c>
      <c r="B2" t="inlineStr">
        <is>
          <t>Cuenta de name</t>
        </is>
      </c>
      <c r="C2" t="inlineStr">
        <is>
          <t>Promedio de market_value_millions</t>
        </is>
      </c>
      <c r="D2" t="inlineStr">
        <is>
          <t>Máx. de market_value_millions</t>
        </is>
      </c>
    </row>
    <row r="3">
      <c r="A3" t="inlineStr">
        <is>
          <t>Attack</t>
        </is>
      </c>
      <c r="B3">
        <f>COUNTIF(Data_Players!B$2:B$49, A3)</f>
        <v/>
      </c>
      <c r="C3">
        <f>AVERAGEIF(Data_Players!B$2:B$49, A3, Data_Players!D$2:D$49)</f>
        <v/>
      </c>
      <c r="D3">
        <f>MAXIFS(Data_Players!D$2:D$49, Data_Players!B$2:B$49, A3)</f>
        <v/>
      </c>
    </row>
    <row r="4">
      <c r="A4" t="inlineStr">
        <is>
          <t>Defender</t>
        </is>
      </c>
      <c r="B4">
        <f>COUNTIF(Data_Players!B$2:B$49, A4)</f>
        <v/>
      </c>
      <c r="C4">
        <f>AVERAGEIF(Data_Players!B$2:B$49, A4, Data_Players!D$2:D$49)</f>
        <v/>
      </c>
      <c r="D4">
        <f>MAXIFS(Data_Players!D$2:D$49, Data_Players!B$2:B$49, A4)</f>
        <v/>
      </c>
    </row>
    <row r="5">
      <c r="A5" t="inlineStr">
        <is>
          <t>Goalkeeper</t>
        </is>
      </c>
      <c r="B5">
        <f>COUNTIF(Data_Players!B$2:B$49, A5)</f>
        <v/>
      </c>
      <c r="C5">
        <f>AVERAGEIF(Data_Players!B$2:B$49, A5, Data_Players!D$2:D$49)</f>
        <v/>
      </c>
      <c r="D5">
        <f>MAXIFS(Data_Players!D$2:D$49, Data_Players!B$2:B$49, A5)</f>
        <v/>
      </c>
    </row>
    <row r="6">
      <c r="A6" t="inlineStr">
        <is>
          <t>Midfield</t>
        </is>
      </c>
      <c r="B6">
        <f>COUNTIF(Data_Players!B$2:B$49, A6)</f>
        <v/>
      </c>
      <c r="C6">
        <f>AVERAGEIF(Data_Players!B$2:B$49, A6, Data_Players!D$2:D$49)</f>
        <v/>
      </c>
      <c r="D6">
        <f>MAXIFS(Data_Players!D$2:D$49, Data_Players!B$2:B$49, A6)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2026-09-21T12:31:50Z</dcterms:created>
  <dcterms:modified xmlns:dcterms="http://purl.org/dc/terms/" xmlns:xsi="http://www.w3.org/2001/XMLSchema-instance" xsi:type="dcterms:W3CDTF">2026-09-21T12:31:50Z</dcterms:modified>
</cp:coreProperties>
</file>